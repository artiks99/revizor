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rabstol\"/>
    </mc:Choice>
  </mc:AlternateContent>
  <xr:revisionPtr revIDLastSave="0" documentId="13_ncr:1_{170ABCA9-CE16-4AF4-9C89-06AC15E5B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Calc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B19" i="1" l="1"/>
  <c r="B15" i="1"/>
  <c r="B12" i="1"/>
  <c r="B21" i="1" s="1"/>
  <c r="B10" i="1"/>
  <c r="B14" i="1"/>
  <c r="B16" i="1"/>
  <c r="B17" i="1"/>
  <c r="B18" i="1"/>
</calcChain>
</file>

<file path=xl/sharedStrings.xml><?xml version="1.0" encoding="utf-8"?>
<sst xmlns="http://schemas.openxmlformats.org/spreadsheetml/2006/main" count="43" uniqueCount="43">
  <si>
    <t>Параметр</t>
  </si>
  <si>
    <t>Значение</t>
  </si>
  <si>
    <t>Пояснение</t>
  </si>
  <si>
    <t>Общая выручка (грязная)</t>
  </si>
  <si>
    <t>Введите общую выручку за период (с НДС)</t>
  </si>
  <si>
    <t>НДС (%)</t>
  </si>
  <si>
    <t>Ставка НДС (в процентах)</t>
  </si>
  <si>
    <t>Дней в периоде</t>
  </si>
  <si>
    <t>Количество дней в периоде (включительно)</t>
  </si>
  <si>
    <t>Сумма списания (расходы)</t>
  </si>
  <si>
    <t>Сумма списания (введите)</t>
  </si>
  <si>
    <t>Сумма плюсов (излишки, +)</t>
  </si>
  <si>
    <t>Сумма плюсов (введите)</t>
  </si>
  <si>
    <t>Расчёты</t>
  </si>
  <si>
    <t>Чистая выручка (без НДС)</t>
  </si>
  <si>
    <t>Выручка без НДС</t>
  </si>
  <si>
    <t>Среднедневная выручка</t>
  </si>
  <si>
    <t>Чистая выручка разделить на дни</t>
  </si>
  <si>
    <t>Чистое списание (после плюсов)</t>
  </si>
  <si>
    <t>Списание минус плюсы</t>
  </si>
  <si>
    <t>Процент потерь (%)</t>
  </si>
  <si>
    <t>Процент чистого списания от чистой выручки</t>
  </si>
  <si>
    <t>Порог 0.89% (денежный)</t>
  </si>
  <si>
    <t>Верхняя граница премии 300000</t>
  </si>
  <si>
    <t>Порог 1.40% (денежный)</t>
  </si>
  <si>
    <t>Верхняя граница премии 200000</t>
  </si>
  <si>
    <t>Порог 2.59% (денежный)</t>
  </si>
  <si>
    <t>Предельная сумма без взысканий</t>
  </si>
  <si>
    <t>Порог 2.60% (денежный)</t>
  </si>
  <si>
    <t>Начало диапазона взысканий</t>
  </si>
  <si>
    <t>Порог 2.99% (денежный)</t>
  </si>
  <si>
    <t>Конец диапазона взысканий</t>
  </si>
  <si>
    <t>Порог 3.00% (денежный)</t>
  </si>
  <si>
    <t>Порог увольнения (начало)</t>
  </si>
  <si>
    <t>Решение по премии/взысканию</t>
  </si>
  <si>
    <t>Категория по проценту потерь</t>
  </si>
  <si>
    <t>лайков</t>
  </si>
  <si>
    <t>произвед</t>
  </si>
  <si>
    <t>кач перевод</t>
  </si>
  <si>
    <t>плат лайк</t>
  </si>
  <si>
    <t>в закладках</t>
  </si>
  <si>
    <t>в избарнн</t>
  </si>
  <si>
    <t>просмотров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</si>
</sst>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4" sqref="B4"/>
    </sheetView>
  </sheetViews>
  <sheetFormatPr defaultRowHeight="15" x14ac:dyDescent="0.25"/>
  <cols>
    <col min="1" max="1" width="35" customWidth="1"/>
    <col min="2" max="2" width="31.7109375" customWidth="1"/>
    <col min="3" max="3" width="4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37264352</v>
      </c>
      <c r="C2" t="s">
        <v>4</v>
      </c>
    </row>
    <row r="3" spans="1:3" x14ac:dyDescent="0.25">
      <c r="A3" t="s">
        <v>5</v>
      </c>
      <c r="B3">
        <v>16</v>
      </c>
      <c r="C3" t="s">
        <v>6</v>
      </c>
    </row>
    <row r="4" spans="1:3" x14ac:dyDescent="0.25">
      <c r="A4" t="s">
        <v>7</v>
      </c>
      <c r="B4">
        <v>106</v>
      </c>
      <c r="C4" t="s">
        <v>8</v>
      </c>
    </row>
    <row r="5" spans="1:3" x14ac:dyDescent="0.25">
      <c r="A5" t="s">
        <v>9</v>
      </c>
      <c r="B5">
        <v>857326</v>
      </c>
      <c r="C5" t="s">
        <v>10</v>
      </c>
    </row>
    <row r="6" spans="1:3" x14ac:dyDescent="0.25">
      <c r="A6" t="s">
        <v>11</v>
      </c>
      <c r="B6">
        <v>221539</v>
      </c>
      <c r="C6" t="s">
        <v>12</v>
      </c>
    </row>
    <row r="8" spans="1:3" x14ac:dyDescent="0.25">
      <c r="A8" t="s">
        <v>13</v>
      </c>
    </row>
    <row r="9" spans="1:3" x14ac:dyDescent="0.25">
      <c r="A9" t="s">
        <v>14</v>
      </c>
      <c r="B9">
        <f>B2*(1-B3/100)</f>
        <v>31302055.68</v>
      </c>
      <c r="C9" t="s">
        <v>15</v>
      </c>
    </row>
    <row r="10" spans="1:3" x14ac:dyDescent="0.25">
      <c r="A10" t="s">
        <v>16</v>
      </c>
      <c r="B10">
        <f>B9/B4</f>
        <v>295302.41207547172</v>
      </c>
      <c r="C10" t="s">
        <v>17</v>
      </c>
    </row>
    <row r="11" spans="1:3" x14ac:dyDescent="0.25">
      <c r="A11" t="s">
        <v>18</v>
      </c>
      <c r="B11">
        <f>B5-B6</f>
        <v>635787</v>
      </c>
      <c r="C11" t="s">
        <v>19</v>
      </c>
    </row>
    <row r="12" spans="1:3" x14ac:dyDescent="0.25">
      <c r="A12" t="s">
        <v>20</v>
      </c>
      <c r="B12" s="1">
        <f>IF(B9&lt;&gt;0, B11/B9*100, 0)</f>
        <v>2.0311349724108601</v>
      </c>
      <c r="C12" t="s">
        <v>21</v>
      </c>
    </row>
    <row r="14" spans="1:3" x14ac:dyDescent="0.25">
      <c r="A14" t="s">
        <v>22</v>
      </c>
      <c r="B14">
        <f>B9*0.0089</f>
        <v>278588.295552</v>
      </c>
      <c r="C14" t="s">
        <v>23</v>
      </c>
    </row>
    <row r="15" spans="1:3" x14ac:dyDescent="0.25">
      <c r="A15" t="s">
        <v>24</v>
      </c>
      <c r="B15">
        <f>B9*0.014</f>
        <v>438228.77951999998</v>
      </c>
      <c r="C15" t="s">
        <v>25</v>
      </c>
    </row>
    <row r="16" spans="1:3" x14ac:dyDescent="0.25">
      <c r="A16" t="s">
        <v>26</v>
      </c>
      <c r="B16">
        <f>B9*0.0259</f>
        <v>810723.24211200001</v>
      </c>
      <c r="C16" t="s">
        <v>27</v>
      </c>
    </row>
    <row r="17" spans="1:3" x14ac:dyDescent="0.25">
      <c r="A17" t="s">
        <v>28</v>
      </c>
      <c r="B17">
        <f>B9*0.026</f>
        <v>813853.44767999998</v>
      </c>
      <c r="C17" t="s">
        <v>29</v>
      </c>
    </row>
    <row r="18" spans="1:3" x14ac:dyDescent="0.25">
      <c r="A18" t="s">
        <v>30</v>
      </c>
      <c r="B18">
        <f>B9*0.0299</f>
        <v>935931.46483199997</v>
      </c>
      <c r="C18" t="s">
        <v>31</v>
      </c>
    </row>
    <row r="19" spans="1:3" x14ac:dyDescent="0.25">
      <c r="A19" t="s">
        <v>32</v>
      </c>
      <c r="B19">
        <f>B9*0.03</f>
        <v>939061.67039999994</v>
      </c>
      <c r="C19" t="s">
        <v>33</v>
      </c>
    </row>
    <row r="21" spans="1:3" x14ac:dyDescent="0.25">
      <c r="A21" t="s">
        <v>34</v>
      </c>
      <c r="B21" t="str">
        <f>IF(B11&lt;0, "Профит (плюс), премия сохраняется? проверь вручную", IF(B12&lt;=0.89, "Премия 300000", IF(B12&lt;=1.4, "Премия 200000", IF(B12&lt;=2.59, "Нет премии, взысканий нет", IF(B12&lt;3, "Дисциплинарное взыскание", "Увольнение")))))</f>
        <v>Нет премии, взысканий нет</v>
      </c>
      <c r="C2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19BA-86AB-44F8-94B2-085C929B0071}">
  <dimension ref="A1:H2"/>
  <sheetViews>
    <sheetView workbookViewId="0">
      <selection activeCell="K9" sqref="K9"/>
    </sheetView>
  </sheetViews>
  <sheetFormatPr defaultRowHeight="15" x14ac:dyDescent="0.25"/>
  <cols>
    <col min="8" max="8" width="10.140625" bestFit="1" customWidth="1"/>
  </cols>
  <sheetData>
    <row r="1" spans="1:8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8" x14ac:dyDescent="0.25">
      <c r="A2">
        <v>17</v>
      </c>
      <c r="B2">
        <v>8</v>
      </c>
      <c r="C2">
        <v>8</v>
      </c>
      <c r="D2">
        <v>0</v>
      </c>
      <c r="E2">
        <v>55</v>
      </c>
      <c r="F2">
        <v>4</v>
      </c>
      <c r="G2">
        <v>2950</v>
      </c>
      <c r="H2" s="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InventoryCalc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.</cp:lastModifiedBy>
  <dcterms:created xsi:type="dcterms:W3CDTF">2025-10-11T14:07:59Z</dcterms:created>
  <dcterms:modified xsi:type="dcterms:W3CDTF">2026-05-05T12:33:03Z</dcterms:modified>
</cp:coreProperties>
</file>